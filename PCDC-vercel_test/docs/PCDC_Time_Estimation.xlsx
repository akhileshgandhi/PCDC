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3F98AF4-E664-4418-B622-9A2F3DDF6C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timation" sheetId="1" r:id="rId1"/>
    <sheet name="Summary by Ar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7" i="2"/>
  <c r="C7" i="2"/>
  <c r="B7" i="2"/>
</calcChain>
</file>

<file path=xl/sharedStrings.xml><?xml version="1.0" encoding="utf-8"?>
<sst xmlns="http://schemas.openxmlformats.org/spreadsheetml/2006/main" count="107" uniqueCount="71">
  <si>
    <t>#</t>
  </si>
  <si>
    <t>Area</t>
  </si>
  <si>
    <t>Task</t>
  </si>
  <si>
    <t>Priority</t>
  </si>
  <si>
    <t>Buffer (hrs)</t>
  </si>
  <si>
    <t>Total (hrs)</t>
  </si>
  <si>
    <t>Notes</t>
  </si>
  <si>
    <t>Cross-Cutting / Platform-Wide</t>
  </si>
  <si>
    <t>Cross-Cutting</t>
  </si>
  <si>
    <t>Migrate LLM from OpenAI API to local model (Ollama)</t>
  </si>
  <si>
    <t>Blocker</t>
  </si>
  <si>
    <t>Add provider abstraction; swap all call sites: case eval, case generation, questions, rapid-fire.</t>
  </si>
  <si>
    <t>Fix LLM reliability (~50% working -&gt; consistent)</t>
  </si>
  <si>
    <t>High</t>
  </si>
  <si>
    <t>Error handling, JSON-schema/prompt consistency, retries, timeouts, fallbacks.</t>
  </si>
  <si>
    <t>Reports &amp; Analytics from student answers (currently pending)</t>
  </si>
  <si>
    <t>Scoring aggregation, per-student/section reports, backend endpoints + frontend views + charts.</t>
  </si>
  <si>
    <t>Admin Portal</t>
  </si>
  <si>
    <t>Admin</t>
  </si>
  <si>
    <t>Fix 'Create Section' (blocks entire downstream flow)</t>
  </si>
  <si>
    <t>Root-cause + fix section creation; unblocks faculty &amp; student testing.</t>
  </si>
  <si>
    <t>Assign faculty (teacher) to sections/students - UI + wiring</t>
  </si>
  <si>
    <t>Backend endpoints exist; build/repair UI + verify faculty_sections linkage.</t>
  </si>
  <si>
    <t>Fix bulk user import (template download + import)</t>
  </si>
  <si>
    <t>Fix template endpoint and CSV import parsing/validation.</t>
  </si>
  <si>
    <t>Add user invite flow (currently manual-only)</t>
  </si>
  <si>
    <t>Invite email + token acceptance + account activation.</t>
  </si>
  <si>
    <t>Admin views: faculty-uploaded cases, student attempts, reports</t>
  </si>
  <si>
    <t>New read/list screens for cases per faculty + attempt status + analytics.</t>
  </si>
  <si>
    <t>Update admin dashboard to reflect new data/views</t>
  </si>
  <si>
    <t>Medium</t>
  </si>
  <si>
    <t>Rework KPI cards/widgets per new sections.</t>
  </si>
  <si>
    <t>Role cleanup (Faculty/Mentor/Director scope confirmation)</t>
  </si>
  <si>
    <t>Hide/remove roles not required after stakeholder confirmation.</t>
  </si>
  <si>
    <t>Clarity + fixes: Courses, Sections, Settings, Notifications</t>
  </si>
  <si>
    <t>Define behavior, tidy UI, wire missing bits.</t>
  </si>
  <si>
    <t>Faculty Portal</t>
  </si>
  <si>
    <t>Faculty</t>
  </si>
  <si>
    <t>Assign case to a particular student or group (new capability)</t>
  </si>
  <si>
    <t>New endpoint (per-student/group) + assignment UI; extends section-only assign.</t>
  </si>
  <si>
    <t>Add student manually + invite flow in faculty portal</t>
  </si>
  <si>
    <t>Manual add + invite, respecting section enrollment.</t>
  </si>
  <si>
    <t>Rubric Builder visibility after save (nav/wiring fix)</t>
  </si>
  <si>
    <t>Route rubric to /rubric-builder/:caseId and surface saved rubric.</t>
  </si>
  <si>
    <t>Rapid-fire timer (missing)</t>
  </si>
  <si>
    <t>Timed round countdown, wired to rapid_fire timing fields.</t>
  </si>
  <si>
    <t>Automatic time calculation (missing)</t>
  </si>
  <si>
    <t>Auto-compute reading/writing/rapid-fire totals from inputs.</t>
  </si>
  <si>
    <t>Verify case-to-class assign + students-assigned-to-faculty</t>
  </si>
  <si>
    <t>Regression check once Admin section/linkage fixed.</t>
  </si>
  <si>
    <t>Student Portal</t>
  </si>
  <si>
    <t>Student</t>
  </si>
  <si>
    <t>End-to-end student flow enablement + fixes</t>
  </si>
  <si>
    <t>6-screen attempt flow (start-&gt;analysis-&gt;AI-&gt;solution-&gt;defense-&gt;reflection) once linkage works.</t>
  </si>
  <si>
    <t>Integration &amp; QA</t>
  </si>
  <si>
    <t>Integration</t>
  </si>
  <si>
    <t>Full Admin -&gt; Faculty -&gt; Student integration testing</t>
  </si>
  <si>
    <t>End-to-end scenario runs, defect fixing, regression.</t>
  </si>
  <si>
    <t>Bug-fix / stabilization pass</t>
  </si>
  <si>
    <t>Buffer for issues found during integration.</t>
  </si>
  <si>
    <t>TOTAL</t>
  </si>
  <si>
    <t>Base (hrs)</t>
  </si>
  <si>
    <t>GRAND TOTAL</t>
  </si>
  <si>
    <t>Assumptions &amp; Notes</t>
  </si>
  <si>
    <t>1. Estimates assume development is Claude Code-assisted (coding accelerated); time still budgeted for iteration, testing, debugging &amp; review.</t>
  </si>
  <si>
    <t>2. Buffer = 25% per task (rounded to nearest 0.5 hr) for unexpected delays / rework.</t>
  </si>
  <si>
    <t>3. Hours are engineering effort, not calendar time (excludes meetings, reviews, waiting on clarifications).</t>
  </si>
  <si>
    <t>4. 'Blocker' items (Create Section, faculty-&gt;section linkage, local LLM) should be done first - they unblock other tasks.</t>
  </si>
  <si>
    <t>5. Reports &amp; Analytics and Local-LLM migration are the two largest efforts.</t>
  </si>
  <si>
    <t>6. Some Faculty/Student items are partly gated by Admin fixes; verification hours assume those land first.</t>
  </si>
  <si>
    <t>TOTAL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</si>
</sst>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B1D3A"/>
      <name val="Calibri"/>
    </font>
    <font>
      <sz val="11"/>
      <name val="Calibri"/>
    </font>
    <font>
      <b/>
      <sz val="11"/>
      <color rgb="FFFFFFFF"/>
      <name val="Calibri"/>
    </font>
    <font>
      <b/>
      <i/>
      <sz val="11"/>
      <name val="Calibri"/>
    </font>
    <font>
      <b/>
      <sz val="12"/>
      <color rgb="FF0B1D3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1D3A"/>
      </patternFill>
    </fill>
    <fill>
      <patternFill patternType="solid">
        <fgColor rgb="FFC9A227"/>
      </patternFill>
    </fill>
    <fill>
      <patternFill patternType="solid">
        <fgColor rgb="FFF8D7DA"/>
      </patternFill>
    </fill>
    <fill>
      <patternFill patternType="solid">
        <fgColor rgb="FFFFE5B4"/>
      </patternFill>
    </fill>
    <fill>
      <patternFill patternType="solid">
        <fgColor rgb="FFFFF3CD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 style="thin">
        <color rgb="FFE6E8EB"/>
      </left>
      <right style="thin">
        <color rgb="FFE6E8EB"/>
      </right>
      <top style="thin">
        <color rgb="FFE6E8EB"/>
      </top>
      <bottom style="thin">
        <color rgb="FFE6E8EB"/>
      </bottom>
      <diagonal/>
    </border>
    <border>
      <left/>
      <right/>
      <top style="thin">
        <color rgb="FFE6E8EB"/>
      </top>
      <bottom style="thin">
        <color rgb="FFE6E8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/>
    <xf numFmtId="0" fontId="4" fillId="2" borderId="1" xfId="0" applyFont="1" applyFill="1" applyBorder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9.26953125" customWidth="1"/>
    <col min="2" max="2" width="14" customWidth="1"/>
    <col min="3" max="3" width="42.1796875" customWidth="1"/>
    <col min="4" max="4" width="11" customWidth="1"/>
    <col min="5" max="5" width="14" customWidth="1"/>
    <col min="6" max="6" width="42.1796875" customWidth="1"/>
    <col min="7" max="22" width="13.54296875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6</v>
      </c>
    </row>
    <row r="2" spans="1:6" x14ac:dyDescent="0.35">
      <c r="A2" s="15" t="s">
        <v>7</v>
      </c>
      <c r="B2" s="15"/>
      <c r="C2" s="15"/>
      <c r="D2" s="15"/>
      <c r="E2" s="15"/>
      <c r="F2" s="15"/>
    </row>
    <row r="3" spans="1:6" ht="42" customHeight="1" x14ac:dyDescent="0.35">
      <c r="A3" s="2">
        <v>1</v>
      </c>
      <c r="B3" s="3" t="s">
        <v>8</v>
      </c>
      <c r="C3" s="4" t="s">
        <v>9</v>
      </c>
      <c r="D3" s="5" t="s">
        <v>10</v>
      </c>
      <c r="E3" s="2">
        <v>8</v>
      </c>
      <c r="F3" s="4" t="s">
        <v>11</v>
      </c>
    </row>
    <row r="4" spans="1:6" ht="37.5" customHeight="1" x14ac:dyDescent="0.35">
      <c r="A4" s="2">
        <v>2</v>
      </c>
      <c r="B4" s="3" t="s">
        <v>8</v>
      </c>
      <c r="C4" s="4" t="s">
        <v>12</v>
      </c>
      <c r="D4" s="6" t="s">
        <v>13</v>
      </c>
      <c r="E4" s="2">
        <v>8</v>
      </c>
      <c r="F4" s="4" t="s">
        <v>14</v>
      </c>
    </row>
    <row r="5" spans="1:6" ht="47.25" customHeight="1" x14ac:dyDescent="0.35">
      <c r="A5" s="2">
        <v>3</v>
      </c>
      <c r="B5" s="3" t="s">
        <v>8</v>
      </c>
      <c r="C5" s="4" t="s">
        <v>15</v>
      </c>
      <c r="D5" s="6" t="s">
        <v>13</v>
      </c>
      <c r="E5" s="2">
        <v>16</v>
      </c>
      <c r="F5" s="4" t="s">
        <v>16</v>
      </c>
    </row>
    <row r="6" spans="1:6" x14ac:dyDescent="0.35">
      <c r="A6" s="15" t="s">
        <v>17</v>
      </c>
      <c r="B6" s="15"/>
      <c r="C6" s="15"/>
      <c r="D6" s="15"/>
      <c r="E6" s="15"/>
      <c r="F6" s="15"/>
    </row>
    <row r="7" spans="1:6" ht="39" customHeight="1" x14ac:dyDescent="0.35">
      <c r="A7" s="2">
        <v>4</v>
      </c>
      <c r="B7" s="3" t="s">
        <v>18</v>
      </c>
      <c r="C7" s="4" t="s">
        <v>19</v>
      </c>
      <c r="D7" s="5" t="s">
        <v>10</v>
      </c>
      <c r="E7" s="2">
        <v>3</v>
      </c>
      <c r="F7" s="4" t="s">
        <v>20</v>
      </c>
    </row>
    <row r="8" spans="1:6" ht="39" customHeight="1" x14ac:dyDescent="0.35">
      <c r="A8" s="2">
        <v>5</v>
      </c>
      <c r="B8" s="3" t="s">
        <v>18</v>
      </c>
      <c r="C8" s="4" t="s">
        <v>21</v>
      </c>
      <c r="D8" s="5" t="s">
        <v>10</v>
      </c>
      <c r="E8" s="2">
        <v>4</v>
      </c>
      <c r="F8" s="4" t="s">
        <v>22</v>
      </c>
    </row>
    <row r="9" spans="1:6" ht="41.25" customHeight="1" x14ac:dyDescent="0.35">
      <c r="A9" s="2">
        <v>6</v>
      </c>
      <c r="B9" s="3" t="s">
        <v>18</v>
      </c>
      <c r="C9" s="4" t="s">
        <v>23</v>
      </c>
      <c r="D9" s="6" t="s">
        <v>13</v>
      </c>
      <c r="E9" s="2">
        <v>3</v>
      </c>
      <c r="F9" s="4" t="s">
        <v>24</v>
      </c>
    </row>
    <row r="10" spans="1:6" ht="30.75" customHeight="1" x14ac:dyDescent="0.35">
      <c r="A10" s="2">
        <v>7</v>
      </c>
      <c r="B10" s="3" t="s">
        <v>18</v>
      </c>
      <c r="C10" s="4" t="s">
        <v>25</v>
      </c>
      <c r="D10" s="6" t="s">
        <v>13</v>
      </c>
      <c r="E10" s="2">
        <v>3</v>
      </c>
      <c r="F10" s="4" t="s">
        <v>26</v>
      </c>
    </row>
    <row r="11" spans="1:6" ht="29.25" customHeight="1" x14ac:dyDescent="0.35">
      <c r="A11" s="2">
        <v>8</v>
      </c>
      <c r="B11" s="3" t="s">
        <v>18</v>
      </c>
      <c r="C11" s="4" t="s">
        <v>27</v>
      </c>
      <c r="D11" s="6" t="s">
        <v>13</v>
      </c>
      <c r="E11" s="2">
        <v>8</v>
      </c>
      <c r="F11" s="4" t="s">
        <v>28</v>
      </c>
    </row>
    <row r="12" spans="1:6" ht="37.5" customHeight="1" x14ac:dyDescent="0.35">
      <c r="A12" s="2">
        <v>9</v>
      </c>
      <c r="B12" s="3" t="s">
        <v>18</v>
      </c>
      <c r="C12" s="4" t="s">
        <v>29</v>
      </c>
      <c r="D12" s="7" t="s">
        <v>30</v>
      </c>
      <c r="E12" s="2">
        <v>3</v>
      </c>
      <c r="F12" s="4" t="s">
        <v>31</v>
      </c>
    </row>
    <row r="13" spans="1:6" ht="35.25" customHeight="1" x14ac:dyDescent="0.35">
      <c r="A13" s="2">
        <v>10</v>
      </c>
      <c r="B13" s="3" t="s">
        <v>18</v>
      </c>
      <c r="C13" s="4" t="s">
        <v>32</v>
      </c>
      <c r="D13" s="7" t="s">
        <v>30</v>
      </c>
      <c r="E13" s="2">
        <v>4</v>
      </c>
      <c r="F13" s="4" t="s">
        <v>33</v>
      </c>
    </row>
    <row r="14" spans="1:6" ht="38.25" customHeight="1" x14ac:dyDescent="0.35">
      <c r="A14" s="2">
        <v>11</v>
      </c>
      <c r="B14" s="3" t="s">
        <v>18</v>
      </c>
      <c r="C14" s="4" t="s">
        <v>34</v>
      </c>
      <c r="D14" s="7" t="s">
        <v>30</v>
      </c>
      <c r="E14" s="2">
        <v>8</v>
      </c>
      <c r="F14" s="4" t="s">
        <v>35</v>
      </c>
    </row>
    <row r="15" spans="1:6" x14ac:dyDescent="0.35">
      <c r="A15" s="15" t="s">
        <v>36</v>
      </c>
      <c r="B15" s="15"/>
      <c r="C15" s="15"/>
      <c r="D15" s="15"/>
      <c r="E15" s="15"/>
      <c r="F15" s="15"/>
    </row>
    <row r="16" spans="1:6" ht="37.5" customHeight="1" x14ac:dyDescent="0.35">
      <c r="A16" s="2">
        <v>12</v>
      </c>
      <c r="B16" s="3" t="s">
        <v>37</v>
      </c>
      <c r="C16" s="4" t="s">
        <v>38</v>
      </c>
      <c r="D16" s="6" t="s">
        <v>13</v>
      </c>
      <c r="E16" s="2">
        <v>4</v>
      </c>
      <c r="F16" s="4" t="s">
        <v>39</v>
      </c>
    </row>
    <row r="17" spans="1:6" ht="30" customHeight="1" x14ac:dyDescent="0.35">
      <c r="A17" s="2">
        <v>13</v>
      </c>
      <c r="B17" s="3" t="s">
        <v>37</v>
      </c>
      <c r="C17" s="4" t="s">
        <v>40</v>
      </c>
      <c r="D17" s="7" t="s">
        <v>30</v>
      </c>
      <c r="E17" s="2">
        <v>4</v>
      </c>
      <c r="F17" s="4" t="s">
        <v>41</v>
      </c>
    </row>
    <row r="18" spans="1:6" ht="36" customHeight="1" x14ac:dyDescent="0.35">
      <c r="A18" s="2">
        <v>14</v>
      </c>
      <c r="B18" s="3" t="s">
        <v>37</v>
      </c>
      <c r="C18" s="4" t="s">
        <v>42</v>
      </c>
      <c r="D18" s="6" t="s">
        <v>13</v>
      </c>
      <c r="E18" s="2">
        <v>3</v>
      </c>
      <c r="F18" s="4" t="s">
        <v>43</v>
      </c>
    </row>
    <row r="19" spans="1:6" ht="29" x14ac:dyDescent="0.35">
      <c r="A19" s="2">
        <v>15</v>
      </c>
      <c r="B19" s="3" t="s">
        <v>37</v>
      </c>
      <c r="C19" s="4" t="s">
        <v>44</v>
      </c>
      <c r="D19" s="7" t="s">
        <v>30</v>
      </c>
      <c r="E19" s="2">
        <v>8</v>
      </c>
      <c r="F19" s="4" t="s">
        <v>45</v>
      </c>
    </row>
    <row r="20" spans="1:6" ht="24" customHeight="1" x14ac:dyDescent="0.35">
      <c r="A20" s="2">
        <v>16</v>
      </c>
      <c r="B20" s="3" t="s">
        <v>37</v>
      </c>
      <c r="C20" s="4" t="s">
        <v>46</v>
      </c>
      <c r="D20" s="7" t="s">
        <v>30</v>
      </c>
      <c r="E20" s="2">
        <v>5</v>
      </c>
      <c r="F20" s="4" t="s">
        <v>47</v>
      </c>
    </row>
    <row r="21" spans="1:6" ht="41.25" customHeight="1" x14ac:dyDescent="0.35">
      <c r="A21" s="2">
        <v>17</v>
      </c>
      <c r="B21" s="3" t="s">
        <v>37</v>
      </c>
      <c r="C21" s="4" t="s">
        <v>48</v>
      </c>
      <c r="D21" s="7" t="s">
        <v>30</v>
      </c>
      <c r="E21" s="2">
        <v>3</v>
      </c>
      <c r="F21" s="4" t="s">
        <v>49</v>
      </c>
    </row>
    <row r="22" spans="1:6" x14ac:dyDescent="0.35">
      <c r="A22" s="15" t="s">
        <v>50</v>
      </c>
      <c r="B22" s="15"/>
      <c r="C22" s="15"/>
      <c r="D22" s="15"/>
      <c r="E22" s="15"/>
      <c r="F22" s="15"/>
    </row>
    <row r="23" spans="1:6" ht="43.5" x14ac:dyDescent="0.35">
      <c r="A23" s="2">
        <v>18</v>
      </c>
      <c r="B23" s="3" t="s">
        <v>51</v>
      </c>
      <c r="C23" s="4" t="s">
        <v>52</v>
      </c>
      <c r="D23" s="6" t="s">
        <v>13</v>
      </c>
      <c r="E23" s="2">
        <v>35</v>
      </c>
      <c r="F23" s="4" t="s">
        <v>53</v>
      </c>
    </row>
    <row r="24" spans="1:6" x14ac:dyDescent="0.35">
      <c r="A24" s="15" t="s">
        <v>54</v>
      </c>
      <c r="B24" s="15"/>
      <c r="C24" s="15"/>
      <c r="D24" s="15"/>
      <c r="E24" s="15"/>
      <c r="F24" s="15"/>
    </row>
    <row r="25" spans="1:6" ht="29" x14ac:dyDescent="0.35">
      <c r="A25" s="2">
        <v>19</v>
      </c>
      <c r="B25" s="3" t="s">
        <v>55</v>
      </c>
      <c r="C25" s="4" t="s">
        <v>56</v>
      </c>
      <c r="D25" s="8"/>
      <c r="E25" s="2">
        <v>12</v>
      </c>
      <c r="F25" s="4" t="s">
        <v>57</v>
      </c>
    </row>
    <row r="26" spans="1:6" x14ac:dyDescent="0.35">
      <c r="A26" s="2">
        <v>20</v>
      </c>
      <c r="B26" s="3" t="s">
        <v>55</v>
      </c>
      <c r="C26" s="4" t="s">
        <v>58</v>
      </c>
      <c r="D26" s="8"/>
      <c r="E26" s="2">
        <v>8</v>
      </c>
      <c r="F26" s="4" t="s">
        <v>59</v>
      </c>
    </row>
    <row r="27" spans="1:6" x14ac:dyDescent="0.35">
      <c r="A27" s="9"/>
      <c r="B27" s="9"/>
      <c r="C27" s="10" t="s">
        <v>60</v>
      </c>
      <c r="D27" s="9"/>
      <c r="E27" s="9">
        <f>SUM(E3:E26)</f>
        <v>150</v>
      </c>
      <c r="F27" s="9"/>
    </row>
    <row r="29" spans="1:6" x14ac:dyDescent="0.35">
      <c r="C29" s="11"/>
    </row>
    <row r="30" spans="1:6" x14ac:dyDescent="0.35">
      <c r="C30" s="11"/>
    </row>
  </sheetData>
  <mergeCells count="5">
    <mergeCell ref="A2:F2"/>
    <mergeCell ref="A6:F6"/>
    <mergeCell ref="A15:F15"/>
    <mergeCell ref="A22:F22"/>
    <mergeCell ref="A24:F2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4.5" x14ac:dyDescent="0.35"/>
  <cols>
    <col min="1" max="1" width="16" customWidth="1"/>
    <col min="2" max="3" width="14" customWidth="1"/>
    <col min="4" max="4" width="13" customWidth="1"/>
    <col min="5" max="24" width="13.54296875" customWidth="1"/>
  </cols>
  <sheetData>
    <row r="1" spans="1:4" x14ac:dyDescent="0.35">
      <c r="A1" s="1" t="s">
        <v>1</v>
      </c>
      <c r="B1" s="1" t="s">
        <v>61</v>
      </c>
      <c r="C1" s="1" t="s">
        <v>4</v>
      </c>
      <c r="D1" s="1" t="s">
        <v>5</v>
      </c>
    </row>
    <row r="2" spans="1:4" x14ac:dyDescent="0.35">
      <c r="A2" s="3" t="s">
        <v>8</v>
      </c>
      <c r="B2" s="2">
        <v>42</v>
      </c>
      <c r="C2" s="2">
        <v>10.5</v>
      </c>
      <c r="D2" s="2">
        <v>52.5</v>
      </c>
    </row>
    <row r="3" spans="1:4" x14ac:dyDescent="0.35">
      <c r="A3" s="3" t="s">
        <v>18</v>
      </c>
      <c r="B3" s="2">
        <v>47</v>
      </c>
      <c r="C3" s="2">
        <v>11.5</v>
      </c>
      <c r="D3" s="2">
        <v>58.5</v>
      </c>
    </row>
    <row r="4" spans="1:4" x14ac:dyDescent="0.35">
      <c r="A4" s="3" t="s">
        <v>37</v>
      </c>
      <c r="B4" s="2">
        <v>26</v>
      </c>
      <c r="C4" s="2">
        <v>7</v>
      </c>
      <c r="D4" s="2">
        <v>33</v>
      </c>
    </row>
    <row r="5" spans="1:4" x14ac:dyDescent="0.35">
      <c r="A5" s="3" t="s">
        <v>51</v>
      </c>
      <c r="B5" s="2">
        <v>8</v>
      </c>
      <c r="C5" s="2">
        <v>2</v>
      </c>
      <c r="D5" s="2">
        <v>10</v>
      </c>
    </row>
    <row r="6" spans="1:4" x14ac:dyDescent="0.35">
      <c r="A6" s="3" t="s">
        <v>55</v>
      </c>
      <c r="B6" s="2">
        <v>14</v>
      </c>
      <c r="C6" s="2">
        <v>3.5</v>
      </c>
      <c r="D6" s="2">
        <v>17.5</v>
      </c>
    </row>
    <row r="7" spans="1:4" x14ac:dyDescent="0.35">
      <c r="A7" s="12" t="s">
        <v>62</v>
      </c>
      <c r="B7" s="9">
        <f>SUM(B2:B6)</f>
        <v>137</v>
      </c>
      <c r="C7" s="9">
        <f>SUM(C2:C6)</f>
        <v>34.5</v>
      </c>
      <c r="D7" s="9">
        <f>SUM(D2:D6)</f>
        <v>171.5</v>
      </c>
    </row>
    <row r="10" spans="1:4" ht="15.5" x14ac:dyDescent="0.35">
      <c r="A10" s="13" t="s">
        <v>63</v>
      </c>
      <c r="B10" s="13"/>
      <c r="C10" s="13"/>
      <c r="D10" s="13"/>
    </row>
    <row r="11" spans="1:4" x14ac:dyDescent="0.35">
      <c r="A11" s="14" t="s">
        <v>64</v>
      </c>
      <c r="B11" s="14"/>
      <c r="C11" s="14"/>
      <c r="D11" s="14"/>
    </row>
    <row r="12" spans="1:4" x14ac:dyDescent="0.35">
      <c r="A12" s="14" t="s">
        <v>65</v>
      </c>
      <c r="B12" s="14"/>
      <c r="C12" s="14"/>
      <c r="D12" s="14"/>
    </row>
    <row r="13" spans="1:4" x14ac:dyDescent="0.35">
      <c r="A13" s="14" t="s">
        <v>66</v>
      </c>
      <c r="B13" s="14"/>
      <c r="C13" s="14"/>
      <c r="D13" s="14"/>
    </row>
    <row r="14" spans="1:4" x14ac:dyDescent="0.35">
      <c r="A14" s="14" t="s">
        <v>67</v>
      </c>
      <c r="B14" s="14"/>
      <c r="C14" s="14"/>
      <c r="D14" s="14"/>
    </row>
    <row r="15" spans="1:4" x14ac:dyDescent="0.35">
      <c r="A15" s="14" t="s">
        <v>68</v>
      </c>
      <c r="B15" s="14"/>
      <c r="C15" s="14"/>
      <c r="D15" s="14"/>
    </row>
    <row r="16" spans="1:4" x14ac:dyDescent="0.35">
      <c r="A16" s="14" t="s">
        <v>69</v>
      </c>
      <c r="B16" s="14"/>
      <c r="C16" s="14"/>
      <c r="D16" s="14"/>
    </row>
  </sheetData>
  <mergeCells count="7">
    <mergeCell ref="A15:D15"/>
    <mergeCell ref="A16:D16"/>
    <mergeCell ref="A10:D10"/>
    <mergeCell ref="A11:D11"/>
    <mergeCell ref="A12:D12"/>
    <mergeCell ref="A13:D13"/>
    <mergeCell ref="A14:D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Estimation</vt:lpstr>
      <vt:lpstr>Summary by 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2026-07-29T11:05:45Z</dcterms:created>
  <dcterms:modified xsi:type="dcterms:W3CDTF">2026-07-30T04:36:32Z</dcterms:modified>
  <cp:category/>
</cp:coreProperties>
</file>